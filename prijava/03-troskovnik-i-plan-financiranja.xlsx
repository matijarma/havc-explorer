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škovnik" sheetId="1" state="visible" r:id="rId1"/>
    <sheet xmlns:r="http://schemas.openxmlformats.org/officeDocument/2006/relationships" name="Plan financiranja" sheetId="2" state="visible" r:id="rId2"/>
    <sheet xmlns:r="http://schemas.openxmlformats.org/officeDocument/2006/relationships" name="Obrazloženje" sheetId="3" state="visible" r:id="rId3"/>
    <sheet xmlns:r="http://schemas.openxmlformats.org/officeDocument/2006/relationships" name="Kontrola" sheetId="4" state="visible" r:id="rId4"/>
  </sheets>
  <definedNames>
    <definedName name="_xlnm.Print_Area" localSheetId="0">'Troškovnik'!$A$1:$J$17</definedName>
    <definedName name="_xlnm.Print_Area" localSheetId="1">'Plan financiranja'!$A$1:$D$6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 [$€-x-euro2]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42424"/>
      </patternFill>
    </fill>
    <fill>
      <patternFill patternType="solid">
        <fgColor rgb="0025A6E4"/>
      </patternFill>
    </fill>
    <fill>
      <patternFill patternType="solid">
        <fgColor rgb="00F2F2F2"/>
      </patternFill>
    </fill>
    <fill>
      <patternFill patternType="solid">
        <fgColor rgb="00DDEFF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right" vertical="top" wrapText="1"/>
    </xf>
    <xf numFmtId="0" fontId="5" fillId="4" borderId="1" applyAlignment="1" pivotButton="0" quotePrefix="0" xfId="0">
      <alignment horizontal="right" vertical="top" wrapText="1"/>
    </xf>
    <xf numFmtId="0" fontId="5" fillId="4" borderId="1" applyAlignment="1" pivotButton="0" quotePrefix="0" xfId="0">
      <alignment horizontal="left" vertical="top" wrapText="1"/>
    </xf>
    <xf numFmtId="164" fontId="5" fillId="4" borderId="1" applyAlignment="1" pivotButton="0" quotePrefix="0" xfId="0">
      <alignment horizontal="right" vertical="top" wrapText="1"/>
    </xf>
    <xf numFmtId="0" fontId="4" fillId="2" borderId="1" applyAlignment="1" pivotButton="0" quotePrefix="0" xfId="0">
      <alignment horizontal="left"/>
    </xf>
    <xf numFmtId="164" fontId="4" fillId="2" borderId="1" applyAlignment="1" pivotButton="0" quotePrefix="0" xfId="0">
      <alignment horizontal="right"/>
    </xf>
    <xf numFmtId="0" fontId="6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0" borderId="1" applyAlignment="1" pivotButton="0" quotePrefix="0" xfId="0">
      <alignment wrapText="1"/>
    </xf>
    <xf numFmtId="164" fontId="5" fillId="0" borderId="1" applyAlignment="1" pivotButton="0" quotePrefix="0" xfId="0">
      <alignment wrapText="1"/>
    </xf>
    <xf numFmtId="10" fontId="5" fillId="0" borderId="1" applyAlignment="1" pivotButton="0" quotePrefix="0" xfId="0">
      <alignment wrapText="1"/>
    </xf>
    <xf numFmtId="0" fontId="7" fillId="5" borderId="1" applyAlignment="1" pivotButton="0" quotePrefix="0" xfId="0">
      <alignment wrapText="1"/>
    </xf>
    <xf numFmtId="164" fontId="7" fillId="5" borderId="1" applyAlignment="1" pivotButton="0" quotePrefix="0" xfId="0">
      <alignment wrapText="1"/>
    </xf>
    <xf numFmtId="10" fontId="7" fillId="5" borderId="1" applyAlignment="1" pivotButton="0" quotePrefix="0" xfId="0">
      <alignment wrapText="1"/>
    </xf>
    <xf numFmtId="0" fontId="4" fillId="3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1" pivotButton="0" quotePrefix="0" xfId="0"/>
    <xf numFmtId="164" fontId="7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42" customWidth="1" min="3" max="3"/>
    <col width="28" customWidth="1" min="4" max="4"/>
    <col width="11" customWidth="1" min="5" max="5"/>
    <col width="13" customWidth="1" min="6" max="6"/>
    <col width="1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DETALJNO SPECIFICIRANI TROŠKOVNIK PROGRAMA</t>
        </is>
      </c>
    </row>
    <row r="2">
      <c r="A2" s="2" t="inlineStr">
        <is>
          <t>Portal otvorenih podataka Hrvatskog audiovizualnog centra</t>
        </is>
      </c>
    </row>
    <row r="3">
      <c r="A3" s="3" t="inlineStr">
        <is>
          <t>Podnositelj: Aning Film d.o.o.  |  Razdoblje: 1. siječnja – 31. prosinca 2027.</t>
        </is>
      </c>
    </row>
    <row r="4" ht="36" customHeight="1">
      <c r="A4" s="4" t="inlineStr">
        <is>
          <t>R.br.</t>
        </is>
      </c>
      <c r="B4" s="4" t="inlineStr">
        <is>
          <t>Glavna stavka</t>
        </is>
      </c>
      <c r="C4" s="4" t="inlineStr">
        <is>
          <t>Podstavka</t>
        </is>
      </c>
      <c r="D4" s="4" t="inlineStr">
        <is>
          <t>Obračun</t>
        </is>
      </c>
      <c r="E4" s="4" t="inlineStr">
        <is>
          <t>Količina</t>
        </is>
      </c>
      <c r="F4" s="4" t="inlineStr">
        <is>
          <t>Jedinica</t>
        </is>
      </c>
      <c r="G4" s="4" t="inlineStr">
        <is>
          <t>Jedinična cijena</t>
        </is>
      </c>
      <c r="H4" s="4" t="inlineStr">
        <is>
          <t>Ukupno</t>
        </is>
      </c>
      <c r="I4" s="4" t="inlineStr">
        <is>
          <t>HAVC</t>
        </is>
      </c>
      <c r="J4" s="4" t="inlineStr">
        <is>
          <t>Aning Film</t>
        </is>
      </c>
    </row>
    <row r="5" ht="42" customHeight="1">
      <c r="A5" s="5" t="n">
        <v>1</v>
      </c>
      <c r="B5" s="6" t="inlineStr">
        <is>
          <t>Honorari suradnika</t>
        </is>
      </c>
      <c r="C5" s="6" t="inlineStr">
        <is>
          <t>Primarna ručna provjera zapisa</t>
        </is>
      </c>
      <c r="D5" s="6" t="inlineStr">
        <is>
          <t>40 radnih dana × 125 EUR</t>
        </is>
      </c>
      <c r="E5" s="5" t="n">
        <v>40</v>
      </c>
      <c r="F5" s="6" t="inlineStr">
        <is>
          <t>radni dan</t>
        </is>
      </c>
      <c r="G5" s="7" t="n">
        <v>125</v>
      </c>
      <c r="H5" s="7">
        <f>E5*G5</f>
        <v/>
      </c>
      <c r="I5" s="7" t="n">
        <v>5000</v>
      </c>
      <c r="J5" s="7" t="n">
        <v>0</v>
      </c>
    </row>
    <row r="6" ht="42" customHeight="1">
      <c r="A6" s="8" t="n">
        <v>2</v>
      </c>
      <c r="B6" s="9" t="inlineStr">
        <is>
          <t>Honorari suradnika</t>
        </is>
      </c>
      <c r="C6" s="9" t="inlineStr">
        <is>
          <t>Istraživanje i pribavljanje nedostajućih izvora</t>
        </is>
      </c>
      <c r="D6" s="9" t="inlineStr">
        <is>
          <t>12 radnih dana × 125 EUR</t>
        </is>
      </c>
      <c r="E6" s="8" t="n">
        <v>12</v>
      </c>
      <c r="F6" s="9" t="inlineStr">
        <is>
          <t>radni dan</t>
        </is>
      </c>
      <c r="G6" s="10" t="n">
        <v>125</v>
      </c>
      <c r="H6" s="10">
        <f>E6*G6</f>
        <v/>
      </c>
      <c r="I6" s="10" t="n">
        <v>1500</v>
      </c>
      <c r="J6" s="10" t="n">
        <v>0</v>
      </c>
    </row>
    <row r="7" ht="42" customHeight="1">
      <c r="A7" s="5" t="n">
        <v>3</v>
      </c>
      <c r="B7" s="6" t="inlineStr">
        <is>
          <t>Honorari suradnika</t>
        </is>
      </c>
      <c r="C7" s="6" t="inlineStr">
        <is>
          <t>Drugi pregled ispravaka i kontrolni uzorak</t>
        </is>
      </c>
      <c r="D7" s="6" t="inlineStr">
        <is>
          <t>8 radnih dana × 125 EUR</t>
        </is>
      </c>
      <c r="E7" s="5" t="n">
        <v>8</v>
      </c>
      <c r="F7" s="6" t="inlineStr">
        <is>
          <t>radni dan</t>
        </is>
      </c>
      <c r="G7" s="7" t="n">
        <v>125</v>
      </c>
      <c r="H7" s="7">
        <f>E7*G7</f>
        <v/>
      </c>
      <c r="I7" s="7" t="n">
        <v>1000</v>
      </c>
      <c r="J7" s="7" t="n">
        <v>0</v>
      </c>
    </row>
    <row r="8" ht="42" customHeight="1">
      <c r="A8" s="8" t="n">
        <v>4</v>
      </c>
      <c r="B8" s="9" t="inlineStr">
        <is>
          <t>Plaće</t>
        </is>
      </c>
      <c r="C8" s="9" t="inlineStr">
        <is>
          <t>Voditelj, urednik podataka i arhitekt sustava</t>
        </is>
      </c>
      <c r="D8" s="9" t="inlineStr">
        <is>
          <t>160 sati × 25 EUR razmjernog bruto troška</t>
        </is>
      </c>
      <c r="E8" s="8" t="n">
        <v>160</v>
      </c>
      <c r="F8" s="9" t="inlineStr">
        <is>
          <t>sat</t>
        </is>
      </c>
      <c r="G8" s="10" t="n">
        <v>25</v>
      </c>
      <c r="H8" s="10">
        <f>E8*G8</f>
        <v/>
      </c>
      <c r="I8" s="10" t="n">
        <v>0</v>
      </c>
      <c r="J8" s="10" t="n">
        <v>4000</v>
      </c>
    </row>
    <row r="9" ht="42" customHeight="1">
      <c r="A9" s="5" t="n">
        <v>5</v>
      </c>
      <c r="B9" s="6" t="inlineStr">
        <is>
          <t>Online sustavi i tehnički troškovi</t>
        </is>
      </c>
      <c r="C9" s="6" t="inlineStr">
        <is>
          <t>Hosting i izvršavanje javnog portala</t>
        </is>
      </c>
      <c r="D9" s="6" t="inlineStr">
        <is>
          <t>12 mjeseci × 15 EUR</t>
        </is>
      </c>
      <c r="E9" s="5" t="n">
        <v>12</v>
      </c>
      <c r="F9" s="6" t="inlineStr">
        <is>
          <t>mjesec</t>
        </is>
      </c>
      <c r="G9" s="7" t="n">
        <v>15</v>
      </c>
      <c r="H9" s="7">
        <f>E9*G9</f>
        <v/>
      </c>
      <c r="I9" s="7" t="n">
        <v>0</v>
      </c>
      <c r="J9" s="7" t="n">
        <v>180</v>
      </c>
    </row>
    <row r="10" ht="42" customHeight="1">
      <c r="A10" s="8" t="n">
        <v>6</v>
      </c>
      <c r="B10" s="9" t="inlineStr">
        <is>
          <t>Online sustavi i tehnički troškovi</t>
        </is>
      </c>
      <c r="C10" s="9" t="inlineStr">
        <is>
          <t>Pohrana izvora i sigurnosne kopije</t>
        </is>
      </c>
      <c r="D10" s="9" t="inlineStr">
        <is>
          <t>12 mjeseci × 5 EUR</t>
        </is>
      </c>
      <c r="E10" s="8" t="n">
        <v>12</v>
      </c>
      <c r="F10" s="9" t="inlineStr">
        <is>
          <t>mjesec</t>
        </is>
      </c>
      <c r="G10" s="10" t="n">
        <v>5</v>
      </c>
      <c r="H10" s="10">
        <f>E10*G10</f>
        <v/>
      </c>
      <c r="I10" s="10" t="n">
        <v>0</v>
      </c>
      <c r="J10" s="10" t="n">
        <v>60</v>
      </c>
    </row>
    <row r="11" ht="42" customHeight="1">
      <c r="A11" s="5" t="n">
        <v>7</v>
      </c>
      <c r="B11" s="6" t="inlineStr">
        <is>
          <t>Online sustavi i tehnički troškovi</t>
        </is>
      </c>
      <c r="C11" s="6" t="inlineStr">
        <is>
          <t>Domena i DNS usluge</t>
        </is>
      </c>
      <c r="D11" s="6" t="inlineStr">
        <is>
          <t>godišnji trošak</t>
        </is>
      </c>
      <c r="E11" s="5" t="n">
        <v>1</v>
      </c>
      <c r="F11" s="6" t="inlineStr">
        <is>
          <t>godina</t>
        </is>
      </c>
      <c r="G11" s="7" t="n">
        <v>20</v>
      </c>
      <c r="H11" s="7">
        <f>E11*G11</f>
        <v/>
      </c>
      <c r="I11" s="7" t="n">
        <v>0</v>
      </c>
      <c r="J11" s="7" t="n">
        <v>20</v>
      </c>
    </row>
    <row r="12" ht="42" customHeight="1">
      <c r="A12" s="8" t="n">
        <v>8</v>
      </c>
      <c r="B12" s="9" t="inlineStr">
        <is>
          <t>Online sustavi i tehnički troškovi</t>
        </is>
      </c>
      <c r="C12" s="9" t="inlineStr">
        <is>
          <t>Nužni OCR/API alati za obradu iznimaka</t>
        </is>
      </c>
      <c r="D12" s="9" t="inlineStr">
        <is>
          <t>ograničeni godišnji paket</t>
        </is>
      </c>
      <c r="E12" s="8" t="n">
        <v>1</v>
      </c>
      <c r="F12" s="9" t="inlineStr">
        <is>
          <t>paket</t>
        </is>
      </c>
      <c r="G12" s="10" t="n">
        <v>40</v>
      </c>
      <c r="H12" s="10">
        <f>E12*G12</f>
        <v/>
      </c>
      <c r="I12" s="10" t="n">
        <v>0</v>
      </c>
      <c r="J12" s="10" t="n">
        <v>40</v>
      </c>
    </row>
    <row r="13" ht="42" customHeight="1">
      <c r="A13" s="5" t="n">
        <v>9</v>
      </c>
      <c r="B13" s="6" t="inlineStr">
        <is>
          <t>Administracija i primopredaja</t>
        </is>
      </c>
      <c r="C13" s="6" t="inlineStr">
        <is>
          <t>Razmjerni računovodstveni trošak programa</t>
        </is>
      </c>
      <c r="D13" s="6" t="inlineStr">
        <is>
          <t>12 mjeseci × 10 EUR</t>
        </is>
      </c>
      <c r="E13" s="5" t="n">
        <v>12</v>
      </c>
      <c r="F13" s="6" t="inlineStr">
        <is>
          <t>mjesec</t>
        </is>
      </c>
      <c r="G13" s="7" t="n">
        <v>10</v>
      </c>
      <c r="H13" s="7">
        <f>E13*G13</f>
        <v/>
      </c>
      <c r="I13" s="7" t="n">
        <v>0</v>
      </c>
      <c r="J13" s="7" t="n">
        <v>120</v>
      </c>
    </row>
    <row r="14" ht="42" customHeight="1">
      <c r="A14" s="8" t="n">
        <v>10</v>
      </c>
      <c r="B14" s="9" t="inlineStr">
        <is>
          <t>Administracija i primopredaja</t>
        </is>
      </c>
      <c r="C14" s="9" t="inlineStr">
        <is>
          <t>Provjera licenci i priprema završnog paketa</t>
        </is>
      </c>
      <c r="D14" s="9" t="inlineStr">
        <is>
          <t>projektni paket</t>
        </is>
      </c>
      <c r="E14" s="8" t="n">
        <v>1</v>
      </c>
      <c r="F14" s="9" t="inlineStr">
        <is>
          <t>paket</t>
        </is>
      </c>
      <c r="G14" s="10" t="n">
        <v>80</v>
      </c>
      <c r="H14" s="10">
        <f>E14*G14</f>
        <v/>
      </c>
      <c r="I14" s="10" t="n">
        <v>0</v>
      </c>
      <c r="J14" s="10" t="n">
        <v>80</v>
      </c>
    </row>
    <row r="15">
      <c r="A15" s="11" t="inlineStr">
        <is>
          <t>UKUPNO</t>
        </is>
      </c>
      <c r="B15" s="11" t="n"/>
      <c r="C15" s="11" t="n"/>
      <c r="D15" s="11" t="n"/>
      <c r="E15" s="11" t="n"/>
      <c r="F15" s="11" t="n"/>
      <c r="G15" s="11" t="n"/>
      <c r="H15" s="12">
        <f>SUM(H5:H14)</f>
        <v/>
      </c>
      <c r="I15" s="12">
        <f>SUM(I5:I14)</f>
        <v/>
      </c>
      <c r="J15" s="12">
        <f>SUM(J5:J14)</f>
        <v/>
      </c>
    </row>
    <row r="17" ht="32" customHeight="1">
      <c r="A17" s="13" t="inlineStr">
        <is>
          <t>Napomena: troškovnik obuhvaća samo rad i troškove nastale tijekom 2027. Postojeći razvoj iz 2026. ne traži se retroaktivno.</t>
        </is>
      </c>
    </row>
  </sheetData>
  <mergeCells count="5">
    <mergeCell ref="A1:J1"/>
    <mergeCell ref="A17:J17"/>
    <mergeCell ref="A3:J3"/>
    <mergeCell ref="A15:G15"/>
    <mergeCell ref="A2:J2"/>
  </mergeCells>
  <pageMargins left="0.75" right="0.75" top="1" bottom="1" header="0.5" footer="0.5"/>
  <pageSetup orientation="landscape" paperSize="9" fitToHeight="1" fitToWidth="1"/>
  <headerFooter>
    <oddHeader/>
    <oddFooter>&amp;CPortal otvorenih podataka Hrvatskog audiovizualnog centra&amp;RStranica &amp;P od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16" customWidth="1" min="4" max="4"/>
  </cols>
  <sheetData>
    <row r="1">
      <c r="A1" s="14" t="inlineStr">
        <is>
          <t>PLAN FINANCIRANJA</t>
        </is>
      </c>
    </row>
    <row r="3">
      <c r="A3" s="15" t="inlineStr">
        <is>
          <t>Izvor</t>
        </is>
      </c>
      <c r="B3" s="15" t="inlineStr">
        <is>
          <t>Status</t>
        </is>
      </c>
      <c r="C3" s="15" t="inlineStr">
        <is>
          <t>Iznos</t>
        </is>
      </c>
      <c r="D3" s="15" t="inlineStr">
        <is>
          <t>Udio</t>
        </is>
      </c>
    </row>
    <row r="4">
      <c r="A4" s="16" t="inlineStr">
        <is>
          <t>Hrvatski audiovizualni centar</t>
        </is>
      </c>
      <c r="B4" s="16" t="inlineStr">
        <is>
          <t>zatraženo</t>
        </is>
      </c>
      <c r="C4" s="17" t="n">
        <v>7500</v>
      </c>
      <c r="D4" s="18" t="n">
        <v>0.625</v>
      </c>
    </row>
    <row r="5">
      <c r="A5" s="16" t="inlineStr">
        <is>
          <t>Aning Film d.o.o.</t>
        </is>
      </c>
      <c r="B5" s="16" t="inlineStr">
        <is>
          <t>vlastita sredstva/rad</t>
        </is>
      </c>
      <c r="C5" s="17" t="n">
        <v>4500</v>
      </c>
      <c r="D5" s="18" t="n">
        <v>0.375</v>
      </c>
    </row>
    <row r="6">
      <c r="A6" s="19" t="inlineStr">
        <is>
          <t>UKUPNO</t>
        </is>
      </c>
      <c r="B6" s="19" t="inlineStr"/>
      <c r="C6" s="20">
        <f>SUM(C4:C5)</f>
        <v/>
      </c>
      <c r="D6" s="21">
        <f>SUM(D4:D5)</f>
        <v/>
      </c>
    </row>
  </sheetData>
  <mergeCells count="1">
    <mergeCell ref="A1:D1"/>
  </mergeCells>
  <pageMargins left="0.75" right="0.75" top="1" bottom="1" header="0.5" footer="0.5"/>
  <pageSetup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2" t="inlineStr">
        <is>
          <t>Stavka</t>
        </is>
      </c>
      <c r="B1" s="22" t="inlineStr">
        <is>
          <t>Obrazloženje</t>
        </is>
      </c>
    </row>
    <row r="2" ht="55" customHeight="1">
      <c r="A2" s="23" t="inlineStr">
        <is>
          <t>Primarna ručna provjera</t>
        </is>
      </c>
      <c r="B2" s="23" t="inlineStr">
        <is>
          <t>Usporedba svakog zapisa završne baze s izvornim dokumentom: iznos, valuta, godina, rok, kategorija, naziv projekta, korisnik i status financiranja.</t>
        </is>
      </c>
    </row>
    <row r="3" ht="55" customHeight="1">
      <c r="A3" s="23" t="inlineStr">
        <is>
          <t>Istraživanje izvora</t>
        </is>
      </c>
      <c r="B3" s="23" t="inlineStr">
        <is>
          <t>Usporedba korpusa sa službenim objavama, pronalaženje neaktivnih poveznica, priprema popisa građe koja se traži od HAVC-a te unos novopronađenih dokumenata.</t>
        </is>
      </c>
    </row>
    <row r="4" ht="55" customHeight="1">
      <c r="A4" s="23" t="inlineStr">
        <is>
          <t>Drugi pregled i QA</t>
        </is>
      </c>
      <c r="B4" s="23" t="inlineStr">
        <is>
          <t>Neovisna provjera svih ispravljenih i nerazriješenih zapisa te najmanje 10% nasumično odabranih zapisa koji nisu mijenjani.</t>
        </is>
      </c>
    </row>
    <row r="5" ht="55" customHeight="1">
      <c r="A5" s="23" t="inlineStr">
        <is>
          <t>Voditelj programa</t>
        </is>
      </c>
      <c r="B5" s="23" t="inlineStr">
        <is>
          <t>Metodologija, shema, alat za provjeru, obuka i nadzor suradnika, uredničke odluke, validacija, objava i završna primopredaja. Samo rad tijekom 2027.</t>
        </is>
      </c>
    </row>
    <row r="6" ht="55" customHeight="1">
      <c r="A6" s="23" t="inlineStr">
        <is>
          <t>Online sustavi</t>
        </is>
      </c>
      <c r="B6" s="23" t="inlineStr">
        <is>
          <t>Hosting, pohrana, sigurnosne kopije, domena i nužni OCR/API alati izravno vezani uz provedbu.</t>
        </is>
      </c>
    </row>
    <row r="7" ht="55" customHeight="1">
      <c r="A7" s="23" t="inlineStr">
        <is>
          <t>Administracija</t>
        </is>
      </c>
      <c r="B7" s="23" t="inlineStr">
        <is>
          <t>Razmjerni računovodstveni trošak, provjera otvorenih licenci i priprema urednog završnog paketa za HAVC.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4" customWidth="1" min="2" max="2"/>
  </cols>
  <sheetData>
    <row r="1">
      <c r="A1" s="22" t="inlineStr">
        <is>
          <t>Kontrola</t>
        </is>
      </c>
      <c r="B1" s="22" t="inlineStr">
        <is>
          <t>Rezultat</t>
        </is>
      </c>
    </row>
    <row r="2">
      <c r="A2" s="24" t="inlineStr">
        <is>
          <t>Ukupan trošak</t>
        </is>
      </c>
      <c r="B2" s="25">
        <f>'Troškovnik'!H15</f>
        <v/>
      </c>
    </row>
    <row r="3">
      <c r="A3" s="24" t="inlineStr">
        <is>
          <t>HAVC</t>
        </is>
      </c>
      <c r="B3" s="25">
        <f>'Troškovnik'!I15</f>
        <v/>
      </c>
    </row>
    <row r="4">
      <c r="A4" s="24" t="inlineStr">
        <is>
          <t>Aning Film</t>
        </is>
      </c>
      <c r="B4" s="25">
        <f>'Troškovnik'!J15</f>
        <v/>
      </c>
    </row>
    <row r="5">
      <c r="A5" s="24" t="inlineStr">
        <is>
          <t>Financiranje = ukupni trošak</t>
        </is>
      </c>
      <c r="B5" s="26">
        <f>B3+B4=B2</f>
        <v/>
      </c>
    </row>
    <row r="6">
      <c r="A6" s="24" t="inlineStr">
        <is>
          <t>HAVC iznos je 7.500 EUR</t>
        </is>
      </c>
      <c r="B6" s="26">
        <f>B3=7500</f>
        <v/>
      </c>
    </row>
    <row r="7">
      <c r="A7" s="24" t="inlineStr">
        <is>
          <t>Vlastiti udio je 4.500 EUR</t>
        </is>
      </c>
      <c r="B7" s="26">
        <f>B4=4500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2026-08-31T16:25:44Z</dcterms:created>
  <dcterms:modified xmlns:dcterms="http://purl.org/dc/terms/" xmlns:xsi="http://www.w3.org/2001/XMLSchema-instance" xsi:type="dcterms:W3CDTF">2026-08-31T16:25:44Z</dcterms:modified>
</cp:coreProperties>
</file>